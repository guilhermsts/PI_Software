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gil\Desktop\"/>
    </mc:Choice>
  </mc:AlternateContent>
  <xr:revisionPtr revIDLastSave="0" documentId="8_{493D949A-CB65-4D08-9D67-B84F87256E2A}" xr6:coauthVersionLast="47" xr6:coauthVersionMax="47" xr10:uidLastSave="{00000000-0000-0000-0000-000000000000}"/>
  <bookViews>
    <workbookView xWindow="3855" yWindow="3615" windowWidth="23925" windowHeight="11985" xr2:uid="{5851DC0A-25EF-4749-84BB-D600DDD796CC}"/>
  </bookViews>
  <sheets>
    <sheet name="BOM_mais_detalhe" sheetId="1" r:id="rId1"/>
    <sheet name="BOM" sheetId="6" r:id="rId2"/>
    <sheet name="Calculos" sheetId="2" r:id="rId3"/>
  </sheets>
  <definedNames>
    <definedName name="DadosExternos_1" localSheetId="1" hidden="1">BOM!$A$1:$H$13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17" i="1"/>
  <c r="G14" i="1"/>
  <c r="G13" i="1"/>
  <c r="G12" i="1"/>
  <c r="G11" i="1"/>
  <c r="G10" i="1"/>
  <c r="G9" i="1"/>
  <c r="H8" i="1"/>
  <c r="G8" i="1"/>
  <c r="H7" i="1"/>
  <c r="G7" i="1"/>
  <c r="G5" i="1"/>
  <c r="D73" i="2"/>
  <c r="D72" i="2"/>
  <c r="D70" i="2"/>
  <c r="D69" i="2"/>
  <c r="D67" i="2"/>
  <c r="D66" i="2"/>
  <c r="G61" i="2"/>
  <c r="G60" i="2"/>
  <c r="G57" i="2"/>
  <c r="G56" i="2"/>
  <c r="C25" i="2"/>
  <c r="C23" i="2"/>
  <c r="D11" i="2"/>
  <c r="D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591038-43A9-4309-9310-75C82718993B}" keepAlive="1" name="Consulta - pi" description="Ligação à consulta 'pi' no livro." type="5" refreshedVersion="8" background="1" saveData="1">
    <dbPr connection="Provider=Microsoft.Mashup.OleDb.1;Data Source=$Workbook$;Location=pi;Extended Properties=&quot;&quot;" command="SELECT * FROM [pi]"/>
  </connection>
</connections>
</file>

<file path=xl/sharedStrings.xml><?xml version="1.0" encoding="utf-8"?>
<sst xmlns="http://schemas.openxmlformats.org/spreadsheetml/2006/main" count="239" uniqueCount="165">
  <si>
    <t>Hardware</t>
  </si>
  <si>
    <t>Categoria</t>
  </si>
  <si>
    <t>Componente</t>
  </si>
  <si>
    <t>Preço (unidade)</t>
  </si>
  <si>
    <t xml:space="preserve">Quantidade </t>
  </si>
  <si>
    <t>Estado</t>
  </si>
  <si>
    <t>Preço total por artigo</t>
  </si>
  <si>
    <t>Preço total(€)</t>
  </si>
  <si>
    <t>Link</t>
  </si>
  <si>
    <t>#</t>
  </si>
  <si>
    <t>VEML3328</t>
  </si>
  <si>
    <t>1.37 € (DigiKey)</t>
  </si>
  <si>
    <t>18 unidades (8 para cada PCB + 2 de redundância)</t>
  </si>
  <si>
    <t>Planeado</t>
  </si>
  <si>
    <t>https://www.digikey.pt/pt/products/detail/vishay-semiconductor-opto-division/VEML3328/10673129</t>
  </si>
  <si>
    <t>Raspberry Pi 4 Model B 4GB</t>
  </si>
  <si>
    <t>62.91€ (Mauser)</t>
  </si>
  <si>
    <t>1 unidade</t>
  </si>
  <si>
    <t>https://mauser.pt/096-7402/microcomputador-raspberry-pi-4-model-b-4gb</t>
  </si>
  <si>
    <t>CRGCQ0603F2K2 (Resistência 2.2K ohms) (SMD)</t>
  </si>
  <si>
    <t>0.01760€ (Digikey)</t>
  </si>
  <si>
    <t>40 unidades (18 para cada PCB + 4 de redundância)</t>
  </si>
  <si>
    <t>https://www.digikey.pt/pt/products/detail/te-connectivity-passive-product/CRGCQ0603F2K2/8576294?s=N4IgTCBcDaIMICUDicCKAGAbOgzAMTAGkIBdAXyA</t>
  </si>
  <si>
    <t>C0603C104K5RACTU ( Condensador 100 nF) (Cerâmico)</t>
  </si>
  <si>
    <t>0.001€(Digikey)</t>
  </si>
  <si>
    <t>22 unidades (10 para cada PCB + 2 de redundância)</t>
  </si>
  <si>
    <t>https://www.digikey.pt/pt/products/detail/kemet/C0603C104K5RACTU/1465594</t>
  </si>
  <si>
    <t xml:space="preserve">TCA9548APWR ( Multiplexador 8 saidas) </t>
  </si>
  <si>
    <t>1.14€(Digikey)</t>
  </si>
  <si>
    <t>3 unidades ( 1 para cada pcb + 1 de redundância)</t>
  </si>
  <si>
    <t>https://www.digikey.pt/pt/products/detail/texas-instruments/TCA9548APWR/3615458?s=N4IgTCBcDaICoGECCBOArAFgBxIAoHUAlEAXQF8g</t>
  </si>
  <si>
    <t>RC0603FR-0710KL  (Resistência 10k ohms) (SMD)</t>
  </si>
  <si>
    <t>0.009€ (Digikey)</t>
  </si>
  <si>
    <t>6 unidades ( 2 para cada pcb + 2 de redundância)</t>
  </si>
  <si>
    <t>https://www.digikey.pt/pt/products/detail/yageo/RC0603FR-0710KL/726880?s=N4IgTCBcDaIEoGEAMA2JBmAYnAtEg7AIxIDSAMiALoC%2BQA</t>
  </si>
  <si>
    <t>Componente para teste</t>
  </si>
  <si>
    <t>VEML3328-SB ( Placa de teste do sensor)</t>
  </si>
  <si>
    <t>11.49€(Digikey)</t>
  </si>
  <si>
    <t>1 unidade para teste em placa branca</t>
  </si>
  <si>
    <t>https://www.digikey.pt/pt/products/detail/vishay-semiconductor-opto-division/VEML3328-SB/16962258?s=N4IgTCBcDaIGoFECyAZAzGsAOAtAZQCEACEAXQF8g</t>
  </si>
  <si>
    <t>Condensador Electrolítico ALUM 10UF 20% 16V SMD (865080340001)</t>
  </si>
  <si>
    <t>0.16€(Digikey)</t>
  </si>
  <si>
    <t>4 unidades ( 1 para cada PCB + 2 de redudância)</t>
  </si>
  <si>
    <t>https://www.digikey.pt/pt/products/detail/w%C3%BCrth-elektronik/865080340001/5728006</t>
  </si>
  <si>
    <t>CRS0805-FX-1000ELF ( Resistência de 100 ohms) (SMD)</t>
  </si>
  <si>
    <t>0.3$(Digikey)</t>
  </si>
  <si>
    <t>8 unidades ( 3 para cada PCB + 2 de redundância)</t>
  </si>
  <si>
    <t>https://www.digikey.ca/en/products/detail/bourns-inc/CRS0805-FX-1000ELF/5778645?s=N4IgTCBcDaIMICUDKAGAHCgrAWgGIA1sBGFUgUQBlcQBdAXyA</t>
  </si>
  <si>
    <t>LTST-C170GKT ( LED Verde)</t>
  </si>
  <si>
    <t>0.09€(Digikey)</t>
  </si>
  <si>
    <t>3 unidades ( 1 para cada PCB + 1 de redundância)</t>
  </si>
  <si>
    <t>https://www.digikey.pt/pt/products/detail/liteon/LTST-C170GKT/269226?s=N4IgTCBcDaIDIBUDKCC0BhAjAdgAwHEBpBAAhAF0BfIA</t>
  </si>
  <si>
    <t>B3U-1000P ( Push Button)</t>
  </si>
  <si>
    <t>1.49$(Digikey)</t>
  </si>
  <si>
    <t>2 unidades ( 1 para cada PCB)</t>
  </si>
  <si>
    <t>https://www.digikey.ca/en/products/detail/omron-electronics-inc-emc-div/B3U-1000P/1534338</t>
  </si>
  <si>
    <t>PRT-16763 (Conectores 40 Pins)</t>
  </si>
  <si>
    <t>4.84$(Digikey)</t>
  </si>
  <si>
    <t>https://www.digikey.ca/en/products/detail/sparkfun-electronics/16763/12686348?s=N4IgTCBcDaIAoCUAqBaAjANgOwYMwgF0BfIA</t>
  </si>
  <si>
    <t>RC0402JR-070RL (Resistências 0 ohms)</t>
  </si>
  <si>
    <t>9 unidades ( 3 para cada PCB + 3 de redundância)</t>
  </si>
  <si>
    <t>https://www.digikey.pt/pt/products/detail/yageo/RC0402JR-070RL/726406</t>
  </si>
  <si>
    <t>APHBM2012ETSGTC(LED Bicolor Verde e Vermelho)</t>
  </si>
  <si>
    <t>0.72$(Digikey)</t>
  </si>
  <si>
    <t>https://www.digikey.ca/en/products/detail/kingbright/APHBM2012ETSGTC/25807483?s=N4IgTCBcDaIIIAUASAhAsmADARjAUQBUBlAcQIGEACEAXQF8g</t>
  </si>
  <si>
    <t>SMD_22 ( Surface Mount para as pofs)</t>
  </si>
  <si>
    <t>1.94$(Digikey)</t>
  </si>
  <si>
    <t>8 unidades (8 para 1 PCB)</t>
  </si>
  <si>
    <t>https://www.digikey.ca/en/products/detail/visual-communications-company-vcc/SMD-22/4515621</t>
  </si>
  <si>
    <t>Kemo S109 - Cabo de fibra óptica - 2m</t>
  </si>
  <si>
    <t>3.27 €(Mauser)</t>
  </si>
  <si>
    <t xml:space="preserve">1 unidade </t>
  </si>
  <si>
    <t>https://mauser.pt/096-3409/cabo-de-fibra-optica-2m</t>
  </si>
  <si>
    <t>Total</t>
  </si>
  <si>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</si>
  <si>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</si>
  <si>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</si>
  <si>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</si>
  <si>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</si>
  <si>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</si>
  <si>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</si>
  <si>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</si>
  <si>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R23,R19,R29,R28,R27,R21</t>
  </si>
  <si>
    <t>RESC1005X40N</t>
  </si>
  <si>
    <t>0k</t>
  </si>
  <si>
    <t/>
  </si>
  <si>
    <t>S2</t>
  </si>
  <si>
    <t>B3U-1000P</t>
  </si>
  <si>
    <t>Push Button</t>
  </si>
  <si>
    <t>R26,R25,R24</t>
  </si>
  <si>
    <t>RESC2012X60N</t>
  </si>
  <si>
    <t>100 ohms</t>
  </si>
  <si>
    <t>R22,R20</t>
  </si>
  <si>
    <t>RESC1608X55N</t>
  </si>
  <si>
    <t>10K</t>
  </si>
  <si>
    <t>R18,R17,R16,R15,R14,R13,R12,R11,R10,R9,R8,R7,R6,R5,R4,R3,R2,R1</t>
  </si>
  <si>
    <t>2K2</t>
  </si>
  <si>
    <t>LED2</t>
  </si>
  <si>
    <t>APHBM2012ETSGTC</t>
  </si>
  <si>
    <t>Bicolor LED - Green and Red</t>
  </si>
  <si>
    <t>LED1</t>
  </si>
  <si>
    <t>LEDC2012X120N</t>
  </si>
  <si>
    <t>Green LED</t>
  </si>
  <si>
    <t>J1</t>
  </si>
  <si>
    <t>RHDR40W64P254_2X20_5130X500X1625P</t>
  </si>
  <si>
    <t>PRT-16763</t>
  </si>
  <si>
    <t>IC9</t>
  </si>
  <si>
    <t>SOP65P640X120-24N</t>
  </si>
  <si>
    <t>TCA9548APWR</t>
  </si>
  <si>
    <t>IC8,IC7,IC6,IC5,IC4,IC3,IC2,IC1</t>
  </si>
  <si>
    <t>C11,C10,C8,C7,C6,C5,C4,C3,C2,C1</t>
  </si>
  <si>
    <t>C0603</t>
  </si>
  <si>
    <t>100 nF</t>
  </si>
  <si>
    <t>C9</t>
  </si>
  <si>
    <t>CAPAE430X550N</t>
  </si>
  <si>
    <t>10 uF</t>
  </si>
  <si>
    <t>Id;"Designator";"Footprint";"Quantity";"Designation";"Supplier and ref";</t>
  </si>
  <si>
    <t>1;"R23,R19,R29,R28,R27,R21";"RESC1005X40N";6;"0k";;;</t>
  </si>
  <si>
    <t>2;"S2";"B3U-1000P";1;"Push Button";;;</t>
  </si>
  <si>
    <t>3;"R26,R25,R24";"RESC2012X60N";3;"100 ohms";;;</t>
  </si>
  <si>
    <t>4;"R22,R20";"RESC1608X55N";2;"10K";;;</t>
  </si>
  <si>
    <t>5;"R18,R17,R16,R15,R14,R13,R12,R11,R10,R9,R8,R7,R6,R5,R4,R3,R2,R1";"RESC1608X55N";18;"2K2";;;</t>
  </si>
  <si>
    <t>6;"LED2";"APHBM2012ETSGTC";1;"Bicolor LED - Green and Red";;;</t>
  </si>
  <si>
    <t>7;"LED1";"LEDC2012X120N";1;"Green LED";;;</t>
  </si>
  <si>
    <t>8;"J1";"RHDR40W64P254_2X20_5130X500X1625P";1;"PRT-16763";;;</t>
  </si>
  <si>
    <t>9;"IC9";"SOP65P640X120-24N";1;"TCA9548APWR";;;</t>
  </si>
  <si>
    <t>10;"IC8,IC7,IC6,IC5,IC4,IC3,IC2,IC1";"VEML3328";8;"VEML3328";;;</t>
  </si>
  <si>
    <t>11;"C11,C10,C8,C7,C6,C5,C4,C3,C2,C1";"C0603";10;"100 nF";;;</t>
  </si>
  <si>
    <t>12;"C9";"CAPAE430X550N";1;"10 uF";;;</t>
  </si>
  <si>
    <t>Vdpux</t>
  </si>
  <si>
    <t>V</t>
  </si>
  <si>
    <t>Vol - (Output Low voltage of VEML3328)</t>
  </si>
  <si>
    <t>Iol (min = 3mA , typical =6mA) para Vol = 0.4</t>
  </si>
  <si>
    <t>A</t>
  </si>
  <si>
    <t>Rpmin</t>
  </si>
  <si>
    <t>ohms</t>
  </si>
  <si>
    <t>Segundo o gráfico menor que 1k</t>
  </si>
  <si>
    <t>tr</t>
  </si>
  <si>
    <t>s</t>
  </si>
  <si>
    <t>constante da formula</t>
  </si>
  <si>
    <t>maxCb para o Fast mode</t>
  </si>
  <si>
    <t>pF</t>
  </si>
  <si>
    <t>Rpmax</t>
  </si>
  <si>
    <t>Bom valor de rp seria por exemplo 2.2k</t>
  </si>
  <si>
    <t>vf typ = 2.1   Vfmax = 2.6</t>
  </si>
  <si>
    <t>Rled</t>
  </si>
  <si>
    <t xml:space="preserve">Se escolhermos 100 ohms , IF aproximademente 12 ma </t>
  </si>
  <si>
    <t>If(100 ohms)</t>
  </si>
  <si>
    <t>Bom</t>
  </si>
  <si>
    <t>Rgreen</t>
  </si>
  <si>
    <t>Rvermelho</t>
  </si>
  <si>
    <t>Com 100 ohms - IF Rgreen</t>
  </si>
  <si>
    <t>Com 100 ohms - IF-Rvermelho</t>
  </si>
  <si>
    <t>Consumo Total Pior Caso</t>
  </si>
  <si>
    <t>LED's Bicolor</t>
  </si>
  <si>
    <t>LED Verde</t>
  </si>
  <si>
    <t>Push button (max)</t>
  </si>
  <si>
    <t>Rpull up dos VEML3328 pior caso</t>
  </si>
  <si>
    <t>R pull down do mux (Selcts, Reset ) e Test button pior caso</t>
  </si>
  <si>
    <t>Mux pior caso ( A funcionar, Vcc 5 e fast mode que não é o caso)</t>
  </si>
  <si>
    <t>VEML3328 ( Todos a operar , pior caso)</t>
  </si>
  <si>
    <t xml:space="preserve">Total </t>
  </si>
  <si>
    <t>119 mA</t>
  </si>
  <si>
    <t>Fornecida pelo RaspberryPi no pino 3.3V</t>
  </si>
  <si>
    <t>500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</si>
</sst>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\ [$€-1];[Red]\-#,##0\ [$€-1]"/>
    <numFmt numFmtId="165" formatCode="&quot;$&quot;#,##0.00"/>
    <numFmt numFmtId="166" formatCode="_-* #,##0.00\ [$€-816]_-;\-* #,##0.00\ [$€-816]_-;_-* &quot;-&quot;??\ [$€-816]_-;_-@_-"/>
    <numFmt numFmtId="167" formatCode="_-* #,##0.000\ [$€-816]_-;\-* #,##0.000\ [$€-816]_-;_-* &quot;-&quot;??\ [$€-816]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0" fontId="2" fillId="0" borderId="1" xfId="2" applyBorder="1"/>
    <xf numFmtId="165" fontId="0" fillId="0" borderId="1" xfId="0" applyNumberFormat="1" applyBorder="1"/>
    <xf numFmtId="166" fontId="0" fillId="0" borderId="1" xfId="0" applyNumberFormat="1" applyBorder="1"/>
    <xf numFmtId="165" fontId="0" fillId="0" borderId="1" xfId="1" applyNumberFormat="1" applyFont="1" applyBorder="1"/>
    <xf numFmtId="167" fontId="0" fillId="0" borderId="1" xfId="0" applyNumberFormat="1" applyBorder="1"/>
    <xf numFmtId="167" fontId="0" fillId="0" borderId="1" xfId="1" applyNumberFormat="1" applyFont="1" applyBorder="1"/>
    <xf numFmtId="164" fontId="0" fillId="0" borderId="0" xfId="0" applyNumberFormat="1"/>
    <xf numFmtId="166" fontId="0" fillId="0" borderId="1" xfId="1" applyNumberFormat="1" applyFont="1" applyBorder="1"/>
    <xf numFmtId="0" fontId="0" fillId="3" borderId="0" xfId="0" applyFill="1"/>
    <xf numFmtId="167" fontId="0" fillId="0" borderId="1" xfId="1" applyNumberFormat="1" applyFont="1" applyFill="1" applyBorder="1"/>
    <xf numFmtId="0" fontId="0" fillId="0" borderId="2" xfId="0" applyBorder="1"/>
    <xf numFmtId="165" fontId="0" fillId="0" borderId="0" xfId="0" applyNumberFormat="1"/>
    <xf numFmtId="166" fontId="0" fillId="0" borderId="2" xfId="0" applyNumberFormat="1" applyBorder="1"/>
    <xf numFmtId="0" fontId="2" fillId="0" borderId="0" xfId="2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166" fontId="0" fillId="0" borderId="6" xfId="0" applyNumberFormat="1" applyBorder="1"/>
    <xf numFmtId="0" fontId="2" fillId="0" borderId="6" xfId="2" applyBorder="1"/>
    <xf numFmtId="0" fontId="0" fillId="0" borderId="8" xfId="0" applyBorder="1"/>
    <xf numFmtId="166" fontId="0" fillId="0" borderId="8" xfId="0" applyNumberFormat="1" applyBorder="1"/>
    <xf numFmtId="0" fontId="2" fillId="0" borderId="8" xfId="2" applyBorder="1"/>
    <xf numFmtId="0" fontId="2" fillId="2" borderId="8" xfId="2" applyFill="1" applyBorder="1"/>
    <xf numFmtId="166" fontId="0" fillId="0" borderId="0" xfId="0" applyNumberFormat="1"/>
  </cellXfs>
  <cellStyles count="3">
    <cellStyle name="Hiperligação" xfId="2" builtinId="8"/>
    <cellStyle name="Moeda" xfId="1" builtinId="4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_-* #,##0.00\ [$€-816]_-;\-* #,##0.00\ [$€-816]_-;_-* &quot;-&quot;??\ [$€-816]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314324</xdr:colOff>
      <xdr:row>1</xdr:row>
      <xdr:rowOff>57150</xdr:rowOff>
    </xdr:from>
    <xdr:to>
      <xdr:col>16</xdr:col>
      <xdr:colOff>514350</xdr:colOff>
      <xdr:row>29</xdr:row>
      <xdr:rowOff>65773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193390-5318-ECB0-F797-71EA79C0A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49" y="247650"/>
          <a:ext cx="6848476" cy="5342623"/>
        </a:xfrm>
        <a:prstGeom prst="rect">
          <a:avLst/>
        </a:prstGeom>
      </xdr:spPr>
    </xdr:pic>
    <xdr:clientData/>
  </xdr:twoCellAnchor>
  <xdr:twoCellAnchor editAs="oneCell">
    <xdr:from>
      <xdr:col>2</xdr:col>
      <xdr:colOff>647699</xdr:colOff>
      <xdr:row>25</xdr:row>
      <xdr:rowOff>149797</xdr:rowOff>
    </xdr:from>
    <xdr:to>
      <xdr:col>3</xdr:col>
      <xdr:colOff>360838</xdr:colOff>
      <xdr:row>40</xdr:row>
      <xdr:rowOff>161053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9FBE06-5210-04C6-4099-B78E5E17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5999" y="4912297"/>
          <a:ext cx="3656489" cy="2868756"/>
        </a:xfrm>
        <a:prstGeom prst="rect">
          <a:avLst/>
        </a:prstGeom>
      </xdr:spPr>
    </xdr:pic>
    <xdr:clientData/>
  </xdr:twoCellAnchor>
  <xdr:twoCellAnchor editAs="oneCell">
    <xdr:from>
      <xdr:col>5</xdr:col>
      <xdr:colOff>266699</xdr:colOff>
      <xdr:row>32</xdr:row>
      <xdr:rowOff>30939</xdr:rowOff>
    </xdr:from>
    <xdr:to>
      <xdr:col>13</xdr:col>
      <xdr:colOff>219073</xdr:colOff>
      <xdr:row>52</xdr:row>
      <xdr:rowOff>44282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263AB35-CAC3-B752-FD2C-3F76D6E0B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3949" y="6126939"/>
          <a:ext cx="6781799" cy="382334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5E23C9-621C-4F75-8B43-35C5F2B1179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254A7-08FC-4E4E-8F5B-1F4E9DF06713}" name="Tabela2" displayName="Tabela2" ref="A3:I21" totalsRowShown="0" headerRowDxfId="15" headerRowBorderDxfId="14" tableBorderDxfId="13">
  <autoFilter ref="A3:I21" xr:uid="{988254A7-08FC-4E4E-8F5B-1F4E9DF06713}"/>
  <tableColumns count="9">
    <tableColumn id="1" xr3:uid="{D5266193-8C76-47A6-89FB-9547E8B9D5AC}" name="Hardware" dataDxfId="12"/>
    <tableColumn id="2" xr3:uid="{A8279B50-F0E4-47CB-A749-790504F68360}" name="Categoria" dataDxfId="11"/>
    <tableColumn id="3" xr3:uid="{7C97F687-F9FA-4F54-B7E8-6AD0B6DD3BE8}" name="Componente" dataDxfId="10"/>
    <tableColumn id="4" xr3:uid="{6594B254-F9B2-4418-BEE6-0C3E53457F88}" name="Preço (unidade)"/>
    <tableColumn id="5" xr3:uid="{1D5FF4A8-A45F-4C1A-9CE3-2BC2BEA2620A}" name="Quantidade " dataDxfId="9"/>
    <tableColumn id="6" xr3:uid="{A323C0F1-7A42-4DC5-9DDF-F1BB417FC71B}" name="Estado" dataDxfId="8"/>
    <tableColumn id="7" xr3:uid="{C3F6AF03-6754-41E7-96BF-69AF248D0B98}" name="Preço total por artigo"/>
    <tableColumn id="8" xr3:uid="{4DD36E9A-EE38-4157-9008-2EF7181AB98D}" name="Preço total(€)" dataDxfId="7"/>
    <tableColumn id="9" xr3:uid="{37591C48-AC0C-4BEE-9834-E579F9547881}" name="Link" dataDxfId="6" dataCellStyle="Hiperliga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2588F-DBF3-4A44-93E7-DAF997674D8E}" name="pi" displayName="pi" ref="A1:H13" tableType="queryTable" totalsRowShown="0">
  <autoFilter ref="A1:H13" xr:uid="{6A02588F-DBF3-4A44-93E7-DAF997674D8E}"/>
  <tableColumns count="8">
    <tableColumn id="1" xr3:uid="{C6216AB8-0434-4623-913D-E308E452C79F}" uniqueName="1" name="Id" queryTableFieldId="1"/>
    <tableColumn id="2" xr3:uid="{4E807E2D-3B39-412D-AC2D-5848A4BEF201}" uniqueName="2" name="Designator" queryTableFieldId="2" dataDxfId="5"/>
    <tableColumn id="3" xr3:uid="{840896A7-56CF-455E-AD5F-A335C3878801}" uniqueName="3" name="Footprint" queryTableFieldId="3" dataDxfId="4"/>
    <tableColumn id="4" xr3:uid="{17D6EC06-E28E-48FE-B733-A45A5D6DED1C}" uniqueName="4" name="Quantity" queryTableFieldId="4"/>
    <tableColumn id="5" xr3:uid="{78AE3D68-A9C4-4C1A-BF32-42EC6AE8AF05}" uniqueName="5" name="Designation" queryTableFieldId="5" dataDxfId="3"/>
    <tableColumn id="6" xr3:uid="{E6F05A79-5B05-4044-A9D3-44858693ADAF}" uniqueName="6" name="Supplier and ref" queryTableFieldId="6" dataDxfId="2"/>
    <tableColumn id="7" xr3:uid="{6AB5671E-E5E0-47AB-9588-70984549024C}" uniqueName="7" name="Column1" queryTableFieldId="7" dataDxfId="1"/>
    <tableColumn id="8" xr3:uid="{1B294380-9A7D-4394-A240-35335E9341A5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pt/pt/products/detail/vishay-semiconductor-opto-division/VEML3328/10673129" TargetMode="External"/><Relationship Id="rId13" Type="http://schemas.openxmlformats.org/officeDocument/2006/relationships/hyperlink" Target="https://www.digikey.pt/pt/products/detail/yageo/RC0402JR-070RL/726406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digikey.pt/pt/products/detail/te-connectivity-passive-product/CRGCQ0603F2K2/8576294?s=N4IgTCBcDaIMICUDicCKAGAbOgzAMTAGkIBdAXyA" TargetMode="External"/><Relationship Id="rId7" Type="http://schemas.openxmlformats.org/officeDocument/2006/relationships/hyperlink" Target="https://mauser.pt/096-7402/microcomputador-raspberry-pi-4-model-b-4gb" TargetMode="External"/><Relationship Id="rId12" Type="http://schemas.openxmlformats.org/officeDocument/2006/relationships/hyperlink" Target="https://www.digikey.pt/pt/products/detail/liteon/LTST-C170GKT/269226?s=N4IgTCBcDaIDIBUDKCC0BhAjAdgAwHEBpBAAhAF0BfI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pt/pt/products/detail/vishay-semiconductor-opto-division/VEML3328-SB/16962258?s=N4IgTCBcDaIGoFECyAZAzGsAOAtAZQCEACEAXQF8g" TargetMode="External"/><Relationship Id="rId16" Type="http://schemas.openxmlformats.org/officeDocument/2006/relationships/hyperlink" Target="https://mauser.pt/096-3409/cabo-de-fibra-optica-2m" TargetMode="External"/><Relationship Id="rId1" Type="http://schemas.openxmlformats.org/officeDocument/2006/relationships/hyperlink" Target="https://www.digikey.pt/pt/products/detail/w%C3%BCrth-elektronik/865080340001/5728006" TargetMode="External"/><Relationship Id="rId6" Type="http://schemas.openxmlformats.org/officeDocument/2006/relationships/hyperlink" Target="https://www.digikey.pt/pt/products/detail/yageo/RC0603FR-0710KL/726880?s=N4IgTCBcDaIEoGEAMA2JBmAYnAtEg7AIxIDSAMiALoC%2BQA" TargetMode="External"/><Relationship Id="rId11" Type="http://schemas.openxmlformats.org/officeDocument/2006/relationships/hyperlink" Target="https://www.digikey.ca/en/products/detail/bourns-inc/CRS0805-FX-1000ELF/5778645?s=N4IgTCBcDaIMICUDKAGAHCgrAWgGIA1sBGFUgUQBlcQBdAXyA" TargetMode="External"/><Relationship Id="rId5" Type="http://schemas.openxmlformats.org/officeDocument/2006/relationships/hyperlink" Target="https://www.digikey.pt/pt/products/detail/texas-instruments/TCA9548APWR/3615458?s=N4IgTCBcDaICoGECCBOArAFgBxIAoHUAlEAXQF8g" TargetMode="External"/><Relationship Id="rId15" Type="http://schemas.openxmlformats.org/officeDocument/2006/relationships/hyperlink" Target="https://www.digikey.ca/en/products/detail/visual-communications-company-vcc/SMD-22/4515621" TargetMode="External"/><Relationship Id="rId10" Type="http://schemas.openxmlformats.org/officeDocument/2006/relationships/hyperlink" Target="https://www.digikey.ca/en/products/detail/omron-electronics-inc-emc-div/B3U-1000P/1534338" TargetMode="External"/><Relationship Id="rId4" Type="http://schemas.openxmlformats.org/officeDocument/2006/relationships/hyperlink" Target="https://www.digikey.pt/pt/products/detail/kemet/C0603C104K5RACTU/1465594" TargetMode="External"/><Relationship Id="rId9" Type="http://schemas.openxmlformats.org/officeDocument/2006/relationships/hyperlink" Target="https://www.digikey.ca/en/products/detail/sparkfun-electronics/16763/12686348?s=N4IgTCBcDaIAoCUAqBaAjANgOwYMwgF0BfIA" TargetMode="External"/><Relationship Id="rId14" Type="http://schemas.openxmlformats.org/officeDocument/2006/relationships/hyperlink" Target="https://www.digikey.ca/en/products/detail/kingbright/APHBM2012ETSGTC/25807483?s=N4IgTCBcDaIIIAUASAhAsmADARjAUQBUBlAcQIGEACEAXQF8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5BEB-0381-4BBD-9981-0678BF7785C9}">
  <dimension ref="A3:I22"/>
  <sheetViews>
    <sheetView tabSelected="1" workbookViewId="0">
      <selection activeCell="I26" sqref="I26"/>
    </sheetView>
  </sheetViews>
  <sheetFormatPr defaultRowHeight="15" x14ac:dyDescent="0.25"/>
  <cols>
    <col min="1" max="1" width="27.7109375" customWidth="1"/>
    <col min="2" max="2" width="53.42578125" customWidth="1"/>
    <col min="3" max="3" width="70.85546875" customWidth="1"/>
    <col min="4" max="4" width="26.140625" customWidth="1"/>
    <col min="5" max="5" width="51.28515625" customWidth="1"/>
    <col min="6" max="6" width="24.85546875" customWidth="1"/>
    <col min="7" max="7" width="21.5703125" customWidth="1"/>
    <col min="8" max="8" width="27.5703125" customWidth="1"/>
    <col min="9" max="9" width="138.140625" customWidth="1"/>
  </cols>
  <sheetData>
    <row r="3" spans="1:9" x14ac:dyDescent="0.25">
      <c r="A3" s="20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18" t="s">
        <v>9</v>
      </c>
      <c r="B4" s="21"/>
      <c r="C4" s="21"/>
      <c r="E4" s="21"/>
      <c r="F4" s="21"/>
      <c r="H4" s="24"/>
      <c r="I4" s="25"/>
    </row>
    <row r="5" spans="1:9" x14ac:dyDescent="0.25">
      <c r="A5" s="18">
        <v>1</v>
      </c>
      <c r="B5" s="1" t="s">
        <v>2</v>
      </c>
      <c r="C5" s="1" t="s">
        <v>10</v>
      </c>
      <c r="D5" s="1" t="s">
        <v>11</v>
      </c>
      <c r="E5" s="1" t="s">
        <v>12</v>
      </c>
      <c r="F5" s="1" t="s">
        <v>13</v>
      </c>
      <c r="G5" s="8">
        <f>1.37*18</f>
        <v>24.660000000000004</v>
      </c>
      <c r="H5" s="6">
        <v>24.66</v>
      </c>
      <c r="I5" s="4" t="s">
        <v>14</v>
      </c>
    </row>
    <row r="6" spans="1:9" x14ac:dyDescent="0.25">
      <c r="A6" s="18">
        <v>2</v>
      </c>
      <c r="B6" s="1" t="s">
        <v>2</v>
      </c>
      <c r="C6" s="1" t="s">
        <v>15</v>
      </c>
      <c r="D6" s="1" t="s">
        <v>16</v>
      </c>
      <c r="E6" s="1" t="s">
        <v>17</v>
      </c>
      <c r="F6" s="1" t="s">
        <v>13</v>
      </c>
      <c r="G6" s="8">
        <v>62.91</v>
      </c>
      <c r="H6" s="6">
        <v>62.91</v>
      </c>
      <c r="I6" s="4" t="s">
        <v>18</v>
      </c>
    </row>
    <row r="7" spans="1:9" x14ac:dyDescent="0.25">
      <c r="A7" s="18">
        <v>3</v>
      </c>
      <c r="B7" s="1" t="s">
        <v>2</v>
      </c>
      <c r="C7" s="1" t="s">
        <v>19</v>
      </c>
      <c r="D7" s="1" t="s">
        <v>20</v>
      </c>
      <c r="E7" s="1" t="s">
        <v>21</v>
      </c>
      <c r="F7" s="1" t="s">
        <v>13</v>
      </c>
      <c r="G7" s="8">
        <f>0.0176*40</f>
        <v>0.70400000000000007</v>
      </c>
      <c r="H7" s="6">
        <f>0.7</f>
        <v>0.7</v>
      </c>
      <c r="I7" s="4" t="s">
        <v>22</v>
      </c>
    </row>
    <row r="8" spans="1:9" x14ac:dyDescent="0.25">
      <c r="A8" s="18">
        <v>4</v>
      </c>
      <c r="B8" s="1" t="s">
        <v>2</v>
      </c>
      <c r="C8" s="1" t="s">
        <v>23</v>
      </c>
      <c r="D8" s="1" t="s">
        <v>24</v>
      </c>
      <c r="E8" s="1" t="s">
        <v>25</v>
      </c>
      <c r="F8" s="1" t="s">
        <v>13</v>
      </c>
      <c r="G8" s="9">
        <f>22*0.001</f>
        <v>2.1999999999999999E-2</v>
      </c>
      <c r="H8" s="11">
        <f>0.022</f>
        <v>2.1999999999999999E-2</v>
      </c>
      <c r="I8" s="4" t="s">
        <v>26</v>
      </c>
    </row>
    <row r="9" spans="1:9" x14ac:dyDescent="0.25">
      <c r="A9" s="18">
        <v>5</v>
      </c>
      <c r="B9" s="1" t="s">
        <v>2</v>
      </c>
      <c r="C9" s="1" t="s">
        <v>27</v>
      </c>
      <c r="D9" s="1" t="s">
        <v>28</v>
      </c>
      <c r="E9" s="1" t="s">
        <v>29</v>
      </c>
      <c r="F9" s="1" t="s">
        <v>13</v>
      </c>
      <c r="G9" s="9">
        <f>1.14*3</f>
        <v>3.42</v>
      </c>
      <c r="H9" s="11">
        <v>3.42</v>
      </c>
      <c r="I9" s="4" t="s">
        <v>30</v>
      </c>
    </row>
    <row r="10" spans="1:9" x14ac:dyDescent="0.25">
      <c r="A10" s="18">
        <v>6</v>
      </c>
      <c r="B10" s="1" t="s">
        <v>2</v>
      </c>
      <c r="C10" s="1" t="s">
        <v>31</v>
      </c>
      <c r="D10" s="1" t="s">
        <v>32</v>
      </c>
      <c r="E10" s="1" t="s">
        <v>33</v>
      </c>
      <c r="F10" s="1" t="s">
        <v>13</v>
      </c>
      <c r="G10" s="9">
        <f>6*0.009</f>
        <v>5.3999999999999992E-2</v>
      </c>
      <c r="H10" s="11">
        <v>5.3999999999999999E-2</v>
      </c>
      <c r="I10" s="4" t="s">
        <v>34</v>
      </c>
    </row>
    <row r="11" spans="1:9" x14ac:dyDescent="0.25">
      <c r="A11" s="18">
        <v>7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13</v>
      </c>
      <c r="G11" s="8">
        <f>11.49*1</f>
        <v>11.49</v>
      </c>
      <c r="H11" s="6">
        <v>11.49</v>
      </c>
      <c r="I11" s="4" t="s">
        <v>39</v>
      </c>
    </row>
    <row r="12" spans="1:9" x14ac:dyDescent="0.25">
      <c r="A12" s="18">
        <v>8</v>
      </c>
      <c r="B12" s="1" t="s">
        <v>2</v>
      </c>
      <c r="C12" s="1" t="s">
        <v>40</v>
      </c>
      <c r="D12" s="1" t="s">
        <v>41</v>
      </c>
      <c r="E12" s="1" t="s">
        <v>42</v>
      </c>
      <c r="F12" s="1" t="s">
        <v>13</v>
      </c>
      <c r="G12" s="8">
        <f>4*0.16</f>
        <v>0.64</v>
      </c>
      <c r="H12" s="6">
        <v>0.64</v>
      </c>
      <c r="I12" s="4" t="s">
        <v>43</v>
      </c>
    </row>
    <row r="13" spans="1:9" x14ac:dyDescent="0.25">
      <c r="A13" s="18">
        <v>9</v>
      </c>
      <c r="B13" s="1" t="s">
        <v>2</v>
      </c>
      <c r="C13" s="1" t="s">
        <v>44</v>
      </c>
      <c r="D13" s="1" t="s">
        <v>45</v>
      </c>
      <c r="E13" s="1" t="s">
        <v>46</v>
      </c>
      <c r="F13" s="1" t="s">
        <v>13</v>
      </c>
      <c r="G13" s="8">
        <f>0.26*8</f>
        <v>2.08</v>
      </c>
      <c r="H13" s="6">
        <v>2.08</v>
      </c>
      <c r="I13" s="4" t="s">
        <v>47</v>
      </c>
    </row>
    <row r="14" spans="1:9" x14ac:dyDescent="0.25">
      <c r="A14" s="18">
        <v>10</v>
      </c>
      <c r="B14" s="1" t="s">
        <v>2</v>
      </c>
      <c r="C14" s="1" t="s">
        <v>48</v>
      </c>
      <c r="D14" s="1" t="s">
        <v>49</v>
      </c>
      <c r="E14" s="1" t="s">
        <v>50</v>
      </c>
      <c r="F14" s="1" t="s">
        <v>13</v>
      </c>
      <c r="G14" s="8">
        <f>3*0.09</f>
        <v>0.27</v>
      </c>
      <c r="H14" s="6">
        <v>0.27</v>
      </c>
      <c r="I14" s="4" t="s">
        <v>51</v>
      </c>
    </row>
    <row r="15" spans="1:9" x14ac:dyDescent="0.25">
      <c r="A15" s="18">
        <v>11</v>
      </c>
      <c r="B15" s="1" t="s">
        <v>2</v>
      </c>
      <c r="C15" s="1" t="s">
        <v>52</v>
      </c>
      <c r="D15" s="1" t="s">
        <v>53</v>
      </c>
      <c r="E15" s="1" t="s">
        <v>54</v>
      </c>
      <c r="F15" s="1" t="s">
        <v>13</v>
      </c>
      <c r="G15" s="5">
        <v>2.98</v>
      </c>
      <c r="H15" s="6">
        <v>2.56</v>
      </c>
      <c r="I15" s="4" t="s">
        <v>55</v>
      </c>
    </row>
    <row r="16" spans="1:9" x14ac:dyDescent="0.25">
      <c r="A16" s="18">
        <v>12</v>
      </c>
      <c r="B16" s="1" t="s">
        <v>2</v>
      </c>
      <c r="C16" s="1" t="s">
        <v>56</v>
      </c>
      <c r="D16" s="7" t="s">
        <v>57</v>
      </c>
      <c r="E16" s="1" t="s">
        <v>54</v>
      </c>
      <c r="F16" s="1" t="s">
        <v>13</v>
      </c>
      <c r="G16" s="7">
        <v>9.68</v>
      </c>
      <c r="H16" s="6">
        <v>8.33</v>
      </c>
      <c r="I16" s="4" t="s">
        <v>58</v>
      </c>
    </row>
    <row r="17" spans="1:9" x14ac:dyDescent="0.25">
      <c r="A17" s="18">
        <v>13</v>
      </c>
      <c r="B17" s="1" t="s">
        <v>2</v>
      </c>
      <c r="C17" s="1" t="s">
        <v>59</v>
      </c>
      <c r="D17" s="1" t="s">
        <v>49</v>
      </c>
      <c r="E17" s="1" t="s">
        <v>60</v>
      </c>
      <c r="F17" s="1" t="s">
        <v>13</v>
      </c>
      <c r="G17" s="13">
        <f>0.09*9</f>
        <v>0.80999999999999994</v>
      </c>
      <c r="H17" s="6">
        <v>0.81</v>
      </c>
      <c r="I17" s="4" t="s">
        <v>61</v>
      </c>
    </row>
    <row r="18" spans="1:9" ht="20.25" customHeight="1" x14ac:dyDescent="0.25">
      <c r="A18" s="18">
        <v>14</v>
      </c>
      <c r="B18" s="1" t="s">
        <v>2</v>
      </c>
      <c r="C18" s="1" t="s">
        <v>62</v>
      </c>
      <c r="D18" s="1" t="s">
        <v>63</v>
      </c>
      <c r="E18" s="1" t="s">
        <v>54</v>
      </c>
      <c r="F18" s="1" t="s">
        <v>13</v>
      </c>
      <c r="G18" s="7">
        <v>1.44</v>
      </c>
      <c r="H18" s="6">
        <v>1.24</v>
      </c>
      <c r="I18" s="4" t="s">
        <v>64</v>
      </c>
    </row>
    <row r="19" spans="1:9" x14ac:dyDescent="0.25">
      <c r="A19" s="19">
        <v>15</v>
      </c>
      <c r="B19" s="14" t="s">
        <v>2</v>
      </c>
      <c r="C19" s="14" t="s">
        <v>65</v>
      </c>
      <c r="D19" s="14" t="s">
        <v>66</v>
      </c>
      <c r="E19" s="14" t="s">
        <v>67</v>
      </c>
      <c r="F19" s="1" t="s">
        <v>13</v>
      </c>
      <c r="G19" s="15">
        <v>15.52</v>
      </c>
      <c r="H19" s="16">
        <v>13.35</v>
      </c>
      <c r="I19" s="17" t="s">
        <v>68</v>
      </c>
    </row>
    <row r="20" spans="1:9" x14ac:dyDescent="0.25">
      <c r="A20" s="22">
        <v>16</v>
      </c>
      <c r="B20" s="26" t="s">
        <v>2</v>
      </c>
      <c r="C20" s="26" t="s">
        <v>69</v>
      </c>
      <c r="D20" t="s">
        <v>70</v>
      </c>
      <c r="E20" s="26" t="s">
        <v>71</v>
      </c>
      <c r="F20" s="26" t="s">
        <v>13</v>
      </c>
      <c r="G20" s="30">
        <v>3.27</v>
      </c>
      <c r="H20" s="27">
        <v>3.27</v>
      </c>
      <c r="I20" s="28" t="s">
        <v>72</v>
      </c>
    </row>
    <row r="21" spans="1:9" x14ac:dyDescent="0.25">
      <c r="A21" s="22" t="s">
        <v>73</v>
      </c>
      <c r="B21" s="23"/>
      <c r="C21" s="23"/>
      <c r="D21" s="23"/>
      <c r="E21" s="23"/>
      <c r="F21" s="23"/>
      <c r="G21" s="23"/>
      <c r="H21" s="27">
        <f>SUM(H5:H20)</f>
        <v>135.80600000000001</v>
      </c>
      <c r="I21" s="29"/>
    </row>
    <row r="22" spans="1:9" x14ac:dyDescent="0.25">
      <c r="G22" s="10"/>
      <c r="H22" s="10"/>
    </row>
  </sheetData>
  <phoneticPr fontId="3" type="noConversion"/>
  <hyperlinks>
    <hyperlink ref="I12" r:id="rId1" xr:uid="{037DA4F2-A4FA-4137-AD25-E8BF19AD0EED}"/>
    <hyperlink ref="I11" r:id="rId2" xr:uid="{48F5461E-6A5E-4BD1-B3C4-8017941A9C8A}"/>
    <hyperlink ref="I7" r:id="rId3" xr:uid="{1DD20B59-3A7E-444E-A612-E6A566CDDFEF}"/>
    <hyperlink ref="I8" r:id="rId4" xr:uid="{0F28D6C3-D0F7-4311-83B1-2676120BF12D}"/>
    <hyperlink ref="I9" r:id="rId5" xr:uid="{1B5806E7-FFE9-4E2D-8DFD-57CEB9213FA0}"/>
    <hyperlink ref="I10" r:id="rId6" xr:uid="{C1C1607E-6F2E-4790-AA09-0B40CA812FD3}"/>
    <hyperlink ref="I6" r:id="rId7" xr:uid="{F3B938DD-2EC2-4E71-8EC5-26B3BA48327F}"/>
    <hyperlink ref="I5" r:id="rId8" xr:uid="{5670896A-9750-45F2-B2C0-F336FB86F582}"/>
    <hyperlink ref="I16" r:id="rId9" xr:uid="{768573A2-B844-4A56-BED8-54F23952A65E}"/>
    <hyperlink ref="I15" r:id="rId10" xr:uid="{9669C971-96C0-4D33-9E07-93C6C642D7C6}"/>
    <hyperlink ref="I13" r:id="rId11" xr:uid="{25FE0675-9F97-47C0-8F47-A50303A92CCD}"/>
    <hyperlink ref="I14" r:id="rId12" xr:uid="{27AC39C6-D85C-4709-8B43-69191AFF403F}"/>
    <hyperlink ref="I17" r:id="rId13" xr:uid="{BABA9202-8463-48D0-8EF5-B77E0C67FF6C}"/>
    <hyperlink ref="I18" r:id="rId14" xr:uid="{ABA5F639-E2F0-4D80-B5C1-CCCFE22879D9}"/>
    <hyperlink ref="I19" r:id="rId15" xr:uid="{FDDB2F87-0181-47E1-A52C-EE71191F4C56}"/>
    <hyperlink ref="I20" r:id="rId16" xr:uid="{71D6E113-7605-4F85-A80C-67F64CFF29BD}"/>
  </hyperlinks>
  <pageMargins left="0.7" right="0.7" top="0.75" bottom="0.75" header="0.3" footer="0.3"/>
  <pageSetup paperSize="9" orientation="portrait"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F128-8E8D-4F20-9BBE-A884BFBA55AC}">
  <dimension ref="A1:H30"/>
  <sheetViews>
    <sheetView workbookViewId="0">
      <selection activeCell="C26" sqref="C26"/>
    </sheetView>
  </sheetViews>
  <sheetFormatPr defaultRowHeight="15" x14ac:dyDescent="0.25"/>
  <cols>
    <col min="1" max="1" width="5" bestFit="1" customWidth="1"/>
    <col min="2" max="2" width="85.28515625" customWidth="1"/>
    <col min="3" max="3" width="36.85546875" bestFit="1" customWidth="1"/>
    <col min="4" max="4" width="11" bestFit="1" customWidth="1"/>
    <col min="5" max="5" width="30.42578125" customWidth="1"/>
    <col min="6" max="6" width="6.140625" customWidth="1"/>
    <col min="7" max="7" width="5.5703125" customWidth="1"/>
    <col min="8" max="8" width="3.7109375" customWidth="1"/>
  </cols>
  <sheetData>
    <row r="1" spans="1:8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 x14ac:dyDescent="0.25">
      <c r="A2">
        <v>1</v>
      </c>
      <c r="B2" t="s">
        <v>82</v>
      </c>
      <c r="C2" t="s">
        <v>83</v>
      </c>
      <c r="D2">
        <v>6</v>
      </c>
      <c r="E2" t="s">
        <v>84</v>
      </c>
      <c r="F2" t="s">
        <v>85</v>
      </c>
      <c r="G2" t="s">
        <v>85</v>
      </c>
      <c r="H2" t="s">
        <v>85</v>
      </c>
    </row>
    <row r="3" spans="1:8" x14ac:dyDescent="0.25">
      <c r="A3">
        <v>2</v>
      </c>
      <c r="B3" t="s">
        <v>86</v>
      </c>
      <c r="C3" t="s">
        <v>87</v>
      </c>
      <c r="D3">
        <v>1</v>
      </c>
      <c r="E3" t="s">
        <v>88</v>
      </c>
      <c r="F3" t="s">
        <v>85</v>
      </c>
      <c r="G3" t="s">
        <v>85</v>
      </c>
      <c r="H3" t="s">
        <v>85</v>
      </c>
    </row>
    <row r="4" spans="1:8" x14ac:dyDescent="0.25">
      <c r="A4">
        <v>3</v>
      </c>
      <c r="B4" t="s">
        <v>89</v>
      </c>
      <c r="C4" t="s">
        <v>90</v>
      </c>
      <c r="D4">
        <v>3</v>
      </c>
      <c r="E4" t="s">
        <v>91</v>
      </c>
      <c r="F4" t="s">
        <v>85</v>
      </c>
      <c r="G4" t="s">
        <v>85</v>
      </c>
      <c r="H4" t="s">
        <v>85</v>
      </c>
    </row>
    <row r="5" spans="1:8" x14ac:dyDescent="0.25">
      <c r="A5">
        <v>4</v>
      </c>
      <c r="B5" t="s">
        <v>92</v>
      </c>
      <c r="C5" t="s">
        <v>93</v>
      </c>
      <c r="D5">
        <v>2</v>
      </c>
      <c r="E5" t="s">
        <v>94</v>
      </c>
      <c r="F5" t="s">
        <v>85</v>
      </c>
      <c r="G5" t="s">
        <v>85</v>
      </c>
      <c r="H5" t="s">
        <v>85</v>
      </c>
    </row>
    <row r="6" spans="1:8" x14ac:dyDescent="0.25">
      <c r="A6">
        <v>5</v>
      </c>
      <c r="B6" t="s">
        <v>95</v>
      </c>
      <c r="C6" t="s">
        <v>93</v>
      </c>
      <c r="D6">
        <v>18</v>
      </c>
      <c r="E6" t="s">
        <v>96</v>
      </c>
      <c r="F6" t="s">
        <v>85</v>
      </c>
      <c r="G6" t="s">
        <v>85</v>
      </c>
      <c r="H6" t="s">
        <v>85</v>
      </c>
    </row>
    <row r="7" spans="1:8" x14ac:dyDescent="0.25">
      <c r="A7">
        <v>6</v>
      </c>
      <c r="B7" t="s">
        <v>97</v>
      </c>
      <c r="C7" t="s">
        <v>98</v>
      </c>
      <c r="D7">
        <v>1</v>
      </c>
      <c r="E7" t="s">
        <v>99</v>
      </c>
      <c r="F7" t="s">
        <v>85</v>
      </c>
      <c r="G7" t="s">
        <v>85</v>
      </c>
      <c r="H7" t="s">
        <v>85</v>
      </c>
    </row>
    <row r="8" spans="1:8" x14ac:dyDescent="0.25">
      <c r="A8">
        <v>7</v>
      </c>
      <c r="B8" t="s">
        <v>100</v>
      </c>
      <c r="C8" t="s">
        <v>101</v>
      </c>
      <c r="D8">
        <v>1</v>
      </c>
      <c r="E8" t="s">
        <v>102</v>
      </c>
      <c r="F8" t="s">
        <v>85</v>
      </c>
      <c r="G8" t="s">
        <v>85</v>
      </c>
      <c r="H8" t="s">
        <v>85</v>
      </c>
    </row>
    <row r="9" spans="1:8" x14ac:dyDescent="0.25">
      <c r="A9">
        <v>8</v>
      </c>
      <c r="B9" t="s">
        <v>103</v>
      </c>
      <c r="C9" t="s">
        <v>104</v>
      </c>
      <c r="D9">
        <v>1</v>
      </c>
      <c r="E9" t="s">
        <v>105</v>
      </c>
      <c r="F9" t="s">
        <v>85</v>
      </c>
      <c r="G9" t="s">
        <v>85</v>
      </c>
      <c r="H9" t="s">
        <v>85</v>
      </c>
    </row>
    <row r="10" spans="1:8" x14ac:dyDescent="0.25">
      <c r="A10">
        <v>9</v>
      </c>
      <c r="B10" t="s">
        <v>106</v>
      </c>
      <c r="C10" t="s">
        <v>107</v>
      </c>
      <c r="D10">
        <v>1</v>
      </c>
      <c r="E10" t="s">
        <v>108</v>
      </c>
      <c r="F10" t="s">
        <v>85</v>
      </c>
      <c r="G10" t="s">
        <v>85</v>
      </c>
      <c r="H10" t="s">
        <v>85</v>
      </c>
    </row>
    <row r="11" spans="1:8" x14ac:dyDescent="0.25">
      <c r="A11">
        <v>10</v>
      </c>
      <c r="B11" t="s">
        <v>109</v>
      </c>
      <c r="C11" t="s">
        <v>10</v>
      </c>
      <c r="D11">
        <v>8</v>
      </c>
      <c r="E11" t="s">
        <v>10</v>
      </c>
      <c r="F11" t="s">
        <v>85</v>
      </c>
      <c r="G11" t="s">
        <v>85</v>
      </c>
      <c r="H11" t="s">
        <v>85</v>
      </c>
    </row>
    <row r="12" spans="1:8" x14ac:dyDescent="0.25">
      <c r="A12">
        <v>11</v>
      </c>
      <c r="B12" t="s">
        <v>110</v>
      </c>
      <c r="C12" t="s">
        <v>111</v>
      </c>
      <c r="D12">
        <v>10</v>
      </c>
      <c r="E12" t="s">
        <v>112</v>
      </c>
      <c r="F12" t="s">
        <v>85</v>
      </c>
      <c r="G12" t="s">
        <v>85</v>
      </c>
      <c r="H12" t="s">
        <v>85</v>
      </c>
    </row>
    <row r="13" spans="1:8" x14ac:dyDescent="0.25">
      <c r="A13">
        <v>12</v>
      </c>
      <c r="B13" t="s">
        <v>113</v>
      </c>
      <c r="C13" t="s">
        <v>114</v>
      </c>
      <c r="D13">
        <v>1</v>
      </c>
      <c r="E13" t="s">
        <v>115</v>
      </c>
      <c r="F13" t="s">
        <v>85</v>
      </c>
      <c r="G13" t="s">
        <v>85</v>
      </c>
      <c r="H13" t="s">
        <v>85</v>
      </c>
    </row>
    <row r="18" spans="2:2" x14ac:dyDescent="0.25">
      <c r="B18" s="12" t="s">
        <v>116</v>
      </c>
    </row>
    <row r="19" spans="2:2" x14ac:dyDescent="0.25">
      <c r="B19" s="12" t="s">
        <v>117</v>
      </c>
    </row>
    <row r="20" spans="2:2" x14ac:dyDescent="0.25">
      <c r="B20" s="12" t="s">
        <v>118</v>
      </c>
    </row>
    <row r="21" spans="2:2" x14ac:dyDescent="0.25">
      <c r="B21" s="12" t="s">
        <v>119</v>
      </c>
    </row>
    <row r="22" spans="2:2" x14ac:dyDescent="0.25">
      <c r="B22" s="12" t="s">
        <v>120</v>
      </c>
    </row>
    <row r="23" spans="2:2" x14ac:dyDescent="0.25">
      <c r="B23" s="12" t="s">
        <v>121</v>
      </c>
    </row>
    <row r="24" spans="2:2" x14ac:dyDescent="0.25">
      <c r="B24" s="12" t="s">
        <v>122</v>
      </c>
    </row>
    <row r="25" spans="2:2" x14ac:dyDescent="0.25">
      <c r="B25" s="12" t="s">
        <v>123</v>
      </c>
    </row>
    <row r="26" spans="2:2" x14ac:dyDescent="0.25">
      <c r="B26" s="12" t="s">
        <v>124</v>
      </c>
    </row>
    <row r="27" spans="2:2" x14ac:dyDescent="0.25">
      <c r="B27" s="12" t="s">
        <v>125</v>
      </c>
    </row>
    <row r="28" spans="2:2" x14ac:dyDescent="0.25">
      <c r="B28" s="12" t="s">
        <v>126</v>
      </c>
    </row>
    <row r="29" spans="2:2" x14ac:dyDescent="0.25">
      <c r="B29" s="12" t="s">
        <v>127</v>
      </c>
    </row>
    <row r="30" spans="2:2" x14ac:dyDescent="0.25">
      <c r="B30" s="12" t="s">
        <v>128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C777-6E7A-4FCB-B5CD-59B2794011DB}">
  <dimension ref="B2:G76"/>
  <sheetViews>
    <sheetView workbookViewId="0">
      <selection activeCell="E74" sqref="E74"/>
    </sheetView>
  </sheetViews>
  <sheetFormatPr defaultRowHeight="15" x14ac:dyDescent="0.25"/>
  <cols>
    <col min="2" max="2" width="15.42578125" customWidth="1"/>
    <col min="3" max="3" width="59.140625" customWidth="1"/>
    <col min="4" max="4" width="26.28515625" customWidth="1"/>
    <col min="5" max="5" width="18.5703125" customWidth="1"/>
    <col min="6" max="6" width="30.140625" customWidth="1"/>
    <col min="7" max="7" width="17.42578125" customWidth="1"/>
  </cols>
  <sheetData>
    <row r="2" spans="3:6" x14ac:dyDescent="0.25">
      <c r="C2" s="1" t="s">
        <v>129</v>
      </c>
      <c r="D2" s="1">
        <v>3.3</v>
      </c>
      <c r="E2" s="1" t="s">
        <v>130</v>
      </c>
    </row>
    <row r="3" spans="3:6" x14ac:dyDescent="0.25">
      <c r="C3" s="1" t="s">
        <v>131</v>
      </c>
      <c r="D3" s="1">
        <v>0.4</v>
      </c>
      <c r="E3" s="1" t="s">
        <v>130</v>
      </c>
    </row>
    <row r="4" spans="3:6" x14ac:dyDescent="0.25">
      <c r="C4" s="1" t="s">
        <v>132</v>
      </c>
      <c r="D4" s="3">
        <v>6.0000000000000001E-3</v>
      </c>
      <c r="E4" s="1" t="s">
        <v>133</v>
      </c>
    </row>
    <row r="5" spans="3:6" x14ac:dyDescent="0.25">
      <c r="C5" s="1" t="s">
        <v>134</v>
      </c>
      <c r="D5" s="1">
        <f>(D2-D3)/D4</f>
        <v>483.33333333333331</v>
      </c>
      <c r="E5" s="1" t="s">
        <v>135</v>
      </c>
      <c r="F5" s="1" t="s">
        <v>136</v>
      </c>
    </row>
    <row r="8" spans="3:6" x14ac:dyDescent="0.25">
      <c r="C8" s="1" t="s">
        <v>137</v>
      </c>
      <c r="D8" s="3">
        <v>2.9999999999999999E-7</v>
      </c>
      <c r="E8" s="1" t="s">
        <v>138</v>
      </c>
    </row>
    <row r="9" spans="3:6" x14ac:dyDescent="0.25">
      <c r="C9" s="1" t="s">
        <v>139</v>
      </c>
      <c r="D9" s="1">
        <v>0.84730000000000005</v>
      </c>
      <c r="E9" s="1"/>
    </row>
    <row r="10" spans="3:6" x14ac:dyDescent="0.25">
      <c r="C10" s="1" t="s">
        <v>140</v>
      </c>
      <c r="D10" s="3">
        <v>4.0000000000000001E-10</v>
      </c>
      <c r="E10" s="1" t="s">
        <v>141</v>
      </c>
    </row>
    <row r="11" spans="3:6" x14ac:dyDescent="0.25">
      <c r="C11" s="1" t="s">
        <v>142</v>
      </c>
      <c r="D11" s="1">
        <f>D8/(D9*D10)</f>
        <v>885.16464062315572</v>
      </c>
      <c r="E11" s="1" t="s">
        <v>135</v>
      </c>
    </row>
    <row r="14" spans="3:6" x14ac:dyDescent="0.25">
      <c r="C14" t="s">
        <v>143</v>
      </c>
    </row>
    <row r="20" spans="2:4" x14ac:dyDescent="0.25">
      <c r="C20" t="s">
        <v>102</v>
      </c>
    </row>
    <row r="21" spans="2:4" x14ac:dyDescent="0.25">
      <c r="C21" t="s">
        <v>144</v>
      </c>
    </row>
    <row r="23" spans="2:4" x14ac:dyDescent="0.25">
      <c r="B23" t="s">
        <v>145</v>
      </c>
      <c r="C23">
        <f>(3.3-2.1)/(0.02)</f>
        <v>59.999999999999986</v>
      </c>
    </row>
    <row r="24" spans="2:4" x14ac:dyDescent="0.25">
      <c r="C24" t="s">
        <v>146</v>
      </c>
    </row>
    <row r="25" spans="2:4" x14ac:dyDescent="0.25">
      <c r="B25" t="s">
        <v>147</v>
      </c>
      <c r="C25">
        <f>(3.3-2.1)/100</f>
        <v>1.1999999999999997E-2</v>
      </c>
      <c r="D25" t="s">
        <v>148</v>
      </c>
    </row>
    <row r="56" spans="6:7" x14ac:dyDescent="0.25">
      <c r="F56" t="s">
        <v>149</v>
      </c>
      <c r="G56">
        <f>(3.3-2.2)/(0.02)</f>
        <v>54.999999999999979</v>
      </c>
    </row>
    <row r="57" spans="6:7" x14ac:dyDescent="0.25">
      <c r="F57" t="s">
        <v>150</v>
      </c>
      <c r="G57">
        <f>(3.3-2)/(0.02)</f>
        <v>64.999999999999986</v>
      </c>
    </row>
    <row r="60" spans="6:7" x14ac:dyDescent="0.25">
      <c r="F60" t="s">
        <v>151</v>
      </c>
      <c r="G60">
        <f>(3.3-2.2)/(100)</f>
        <v>1.0999999999999996E-2</v>
      </c>
    </row>
    <row r="61" spans="6:7" x14ac:dyDescent="0.25">
      <c r="F61" t="s">
        <v>152</v>
      </c>
      <c r="G61">
        <f>(3.3-2)/(100)</f>
        <v>1.2999999999999998E-2</v>
      </c>
    </row>
    <row r="65" spans="3:5" x14ac:dyDescent="0.25">
      <c r="C65" t="s">
        <v>153</v>
      </c>
    </row>
    <row r="66" spans="3:5" x14ac:dyDescent="0.25">
      <c r="C66" t="s">
        <v>154</v>
      </c>
      <c r="D66">
        <f>(0.011)+(0.013)</f>
        <v>2.4E-2</v>
      </c>
    </row>
    <row r="67" spans="3:5" x14ac:dyDescent="0.25">
      <c r="C67" t="s">
        <v>155</v>
      </c>
      <c r="D67">
        <f>(0.012)</f>
        <v>1.2E-2</v>
      </c>
    </row>
    <row r="68" spans="3:5" x14ac:dyDescent="0.25">
      <c r="C68" t="s">
        <v>156</v>
      </c>
      <c r="D68" s="2">
        <v>0.05</v>
      </c>
    </row>
    <row r="69" spans="3:5" x14ac:dyDescent="0.25">
      <c r="C69" t="s">
        <v>157</v>
      </c>
      <c r="D69">
        <f>3.3/2200 * 16</f>
        <v>2.3999999999999997E-2</v>
      </c>
    </row>
    <row r="70" spans="3:5" x14ac:dyDescent="0.25">
      <c r="C70" t="s">
        <v>158</v>
      </c>
      <c r="D70">
        <f>(3.3/10000)*5</f>
        <v>1.65E-3</v>
      </c>
    </row>
    <row r="71" spans="3:5" x14ac:dyDescent="0.25">
      <c r="C71" t="s">
        <v>159</v>
      </c>
      <c r="D71" s="2">
        <v>8.0000000000000007E-5</v>
      </c>
    </row>
    <row r="72" spans="3:5" x14ac:dyDescent="0.25">
      <c r="C72" t="s">
        <v>160</v>
      </c>
      <c r="D72" s="2">
        <f>(0.001)*8</f>
        <v>8.0000000000000002E-3</v>
      </c>
    </row>
    <row r="73" spans="3:5" x14ac:dyDescent="0.25">
      <c r="C73" t="s">
        <v>161</v>
      </c>
      <c r="D73">
        <f>SUM(D66:D72)</f>
        <v>0.11973</v>
      </c>
      <c r="E73" t="s">
        <v>162</v>
      </c>
    </row>
    <row r="76" spans="3:5" x14ac:dyDescent="0.25">
      <c r="C76" t="s">
        <v>163</v>
      </c>
      <c r="D76" t="s">
        <v>164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83634F19806844B12460CE4A26D8E7" ma:contentTypeVersion="11" ma:contentTypeDescription="Criar um novo documento." ma:contentTypeScope="" ma:versionID="75dd57984c9f1d5fa365e5cf03218beb">
  <xsd:schema xmlns:xsd="http://www.w3.org/2001/XMLSchema" xmlns:xs="http://www.w3.org/2001/XMLSchema" xmlns:p="http://schemas.microsoft.com/office/2006/metadata/properties" xmlns:ns2="f10e6479-bdc5-488d-ba18-2d4af1fc4670" xmlns:ns3="ec983a9e-f05d-4ec0-8ee6-b34b8e4c7e12" targetNamespace="http://schemas.microsoft.com/office/2006/metadata/properties" ma:root="true" ma:fieldsID="b447169f14702278b8d5f3a31f95cf18" ns2:_="" ns3:_="">
    <xsd:import namespace="f10e6479-bdc5-488d-ba18-2d4af1fc4670"/>
    <xsd:import namespace="ec983a9e-f05d-4ec0-8ee6-b34b8e4c7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e6479-bdc5-488d-ba18-2d4af1fc4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1d602765-7830-46ba-a66b-13b8df2c5c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83a9e-f05d-4ec0-8ee6-b34b8e4c7e1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33db388-a34c-4f4d-a70a-d4bbe7630b60}" ma:internalName="TaxCatchAll" ma:showField="CatchAllData" ma:web="ec983a9e-f05d-4ec0-8ee6-b34b8e4c7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0e6479-bdc5-488d-ba18-2d4af1fc4670">
      <Terms xmlns="http://schemas.microsoft.com/office/infopath/2007/PartnerControls"/>
    </lcf76f155ced4ddcb4097134ff3c332f>
    <TaxCatchAll xmlns="ec983a9e-f05d-4ec0-8ee6-b34b8e4c7e1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EEB8E86-95F2-4F17-9198-758E92BB9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e6479-bdc5-488d-ba18-2d4af1fc4670"/>
    <ds:schemaRef ds:uri="ec983a9e-f05d-4ec0-8ee6-b34b8e4c7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223121-71B2-4322-8C3A-A2C2900F3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E59F73-5AC6-4F8A-B7D9-6752933B63FC}">
  <ds:schemaRefs>
    <ds:schemaRef ds:uri="f10e6479-bdc5-488d-ba18-2d4af1fc4670"/>
    <ds:schemaRef ds:uri="http://schemas.microsoft.com/office/2006/documentManagement/types"/>
    <ds:schemaRef ds:uri="http://schemas.openxmlformats.org/package/2006/metadata/core-properties"/>
    <ds:schemaRef ds:uri="ec983a9e-f05d-4ec0-8ee6-b34b8e4c7e12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392A20EC-73CE-4DBD-8211-59ECE5816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BOM_mais_detalhe</vt:lpstr>
      <vt:lpstr>BOM</vt:lpstr>
      <vt:lpstr>Calculos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Martim Gil</dc:creator>
  <cp:keywords/>
  <dc:description/>
  <cp:lastModifiedBy>Martim Gil</cp:lastModifiedBy>
  <cp:revision/>
  <dcterms:created xsi:type="dcterms:W3CDTF">2025-11-01T12:20:02Z</dcterms:created>
  <dcterms:modified xsi:type="dcterms:W3CDTF">2026-01-26T16:49:11Z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0x010100D883634F19806844B12460CE4A26D8E7</vt:lpwstr>
  </property>
  <property fmtid="{D5CDD505-2E9C-101B-9397-08002B2CF9AE}" pid="3" name="MediaServiceImageTags">
    <vt:lpwstr/>
  </property>
</Properties>
</file>